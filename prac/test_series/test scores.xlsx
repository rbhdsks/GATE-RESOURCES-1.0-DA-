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Ts" sheetId="1" r:id="rId5"/>
    <sheet state="visible" name="marks vs date plot" sheetId="2" r:id="rId6"/>
    <sheet state="visible" name="Scores" sheetId="3" r:id="rId7"/>
  </sheets>
  <definedNames/>
  <calcPr/>
</workbook>
</file>

<file path=xl/sharedStrings.xml><?xml version="1.0" encoding="utf-8"?>
<sst xmlns="http://schemas.openxmlformats.org/spreadsheetml/2006/main" count="103" uniqueCount="75">
  <si>
    <t>Subject</t>
  </si>
  <si>
    <t>test #</t>
  </si>
  <si>
    <t>Site</t>
  </si>
  <si>
    <t>date</t>
  </si>
  <si>
    <t>Type</t>
  </si>
  <si>
    <t>Syllabus</t>
  </si>
  <si>
    <t>name</t>
  </si>
  <si>
    <t>Score</t>
  </si>
  <si>
    <t>site</t>
  </si>
  <si>
    <t>Out of</t>
  </si>
  <si>
    <t>marks (out of 100)</t>
  </si>
  <si>
    <t>rank</t>
  </si>
  <si>
    <t>Percentage</t>
  </si>
  <si>
    <t>notes</t>
  </si>
  <si>
    <t>Difficulty</t>
  </si>
  <si>
    <t>-</t>
  </si>
  <si>
    <t>Date</t>
  </si>
  <si>
    <t>Notes</t>
  </si>
  <si>
    <t xml:space="preserve">✓ | ? | ✗ </t>
  </si>
  <si>
    <t>PROB</t>
  </si>
  <si>
    <t>aimt 1</t>
  </si>
  <si>
    <t>ACE</t>
  </si>
  <si>
    <t>GO</t>
  </si>
  <si>
    <t>Topic</t>
  </si>
  <si>
    <t>Probability and Statistics-1: 
Counting (permutation and combinations), probability axioms, 
Sample space, events, independent events, mutually exclusive events,
marginal, conditional and joint probability, Bayes Theorem.</t>
  </si>
  <si>
    <t>23/587</t>
  </si>
  <si>
    <t xml:space="preserve">lost 13-14 marks in ML. revise. </t>
  </si>
  <si>
    <t>flt 1</t>
  </si>
  <si>
    <t>Too many careless mistakes</t>
  </si>
  <si>
    <t>14/135</t>
  </si>
  <si>
    <t>9 | 3 | 3</t>
  </si>
  <si>
    <t xml:space="preserve">improved ML score. still many dumb mistakes. </t>
  </si>
  <si>
    <t>Piyush</t>
  </si>
  <si>
    <t xml:space="preserve">learned 2 new points. </t>
  </si>
  <si>
    <t>Probability and Statistics-2 
Conditional expectation and variance,
mean, median, mode and standard deviation, 
correlation, and covariance, random variables,
discrete random variables and probability mass functions, 
uniform, Bernoulli, binomial distribution, Continuous random variables</t>
  </si>
  <si>
    <t>RBR</t>
  </si>
  <si>
    <t>1/38</t>
  </si>
  <si>
    <t>Careless mistakes</t>
  </si>
  <si>
    <t>11 | 3 | 1</t>
  </si>
  <si>
    <t>flt 2</t>
  </si>
  <si>
    <t>8/83</t>
  </si>
  <si>
    <t xml:space="preserve">reduced silly mistakes. 
mistake in B/B+ insertion. same in prev tests. 
forgot to apply sigmoid at the end in 1 question. 
didn't consider square matrix property even if given A is nxn in a question. 
forgot the denominator in avg linkage formula. 
</t>
  </si>
  <si>
    <t xml:space="preserve">Probability and Statistics Topic Test -1
Counting (permutation and combinations)
probability axioms, Sample space,
events, independent events, mutually exclusive events, 
marginal, conditional
 and joint probability, Bayes Theorem </t>
  </si>
  <si>
    <t>3 wrong ones. 1 typo in ques.</t>
  </si>
  <si>
    <t>11 | 1 | 3</t>
  </si>
  <si>
    <t>1/52</t>
  </si>
  <si>
    <t>radius of convergence mistake, 1-2 silly mistakes, 
LDA theory mistake, search question mistake, 
prob question mistake</t>
  </si>
  <si>
    <t>aimt 2</t>
  </si>
  <si>
    <t>6/659</t>
  </si>
  <si>
    <t>Conditional expectation and variance, 
mean, median, mode and standard
deviation, correlation, and covariance.</t>
  </si>
  <si>
    <t xml:space="preserve">a question on ξ (svm)
1 question on ROC curve 
1 question on LOOCV on decision trees 
1 question on CDF (did similar question correctly in an earlier test)
2-3 questions marked for true when asked false 
</t>
  </si>
  <si>
    <t>flt 3</t>
  </si>
  <si>
    <t xml:space="preserve">random walk topic uncovered
1 mistake on Exp rv 
1 mistake on corr coeff 
1 calculation mistake </t>
  </si>
  <si>
    <t>11 | 2 | 2</t>
  </si>
  <si>
    <t>2/65</t>
  </si>
  <si>
    <t xml:space="preserve">prob 1 (on joint pdfs)
calc 2 (both on optimization)
algo 4 (all on graphs and trees) 
(of those, 2 on  DFS)
ml (1 on svm) 
databases 2  (both on relational model) </t>
  </si>
  <si>
    <t>aimt 3</t>
  </si>
  <si>
    <t>18/595</t>
  </si>
  <si>
    <t>perceptron algo (fixed a conceptual issue)
dual form svm (noted bare min from question) 
others were dumb mistakes tbh
didn't get one svm question even after test</t>
  </si>
  <si>
    <t>Random variables, discrete random variables and 
probability mass functions, uniform,
Bernoulli, binomial distribution</t>
  </si>
  <si>
    <t>aiot 1</t>
  </si>
  <si>
    <t>Depth of ML</t>
  </si>
  <si>
    <t>Topics were binomical distr and stuff
nothing difficult</t>
  </si>
  <si>
    <t>25 | 0 | 0</t>
  </si>
  <si>
    <t>fixed conceptual issues: beam search</t>
  </si>
  <si>
    <t>CALC</t>
  </si>
  <si>
    <t>Functions of a single variable, Limits</t>
  </si>
  <si>
    <t>Needs more preparation</t>
  </si>
  <si>
    <t>10 | 2 | 3</t>
  </si>
  <si>
    <t>DB</t>
  </si>
  <si>
    <t>SQL, integrity constraints, normal form, file organization, indexing, data types</t>
  </si>
  <si>
    <t>Was easy. 2 questions wrong. 
1 on clustering index. 
(need to revise) 
1 was kinda ambiguous, not a good question</t>
  </si>
  <si>
    <t>13 | 0 | 2</t>
  </si>
  <si>
    <t>GO Classes</t>
  </si>
  <si>
    <t>Probability weekly test: conditional prob, bayes theorem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</si>
</sst>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6DA6"/>
          <bgColor rgb="FFFF6DA6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Scores-style">
      <tableStyleElement dxfId="2" type="headerRow"/>
      <tableStyleElement dxfId="3" type="firstRowStripe"/>
      <tableStyleElement dxfId="5" type="secondRowStripe"/>
      <tableStyleElement dxfId="6" size="0" type="wholeTable"/>
    </tableStyle>
    <tableStyle count="4" pivot="0" name="FLTs-style">
      <tableStyleElement dxfId="1" type="headerRow"/>
      <tableStyleElement dxfId="3" type="firstRowStripe"/>
      <tableStyleElement dxfId="4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marks (out of 100) vs date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FLTs!$B$1</c:f>
            </c:strRef>
          </c:tx>
          <c:spPr>
            <a:ln cmpd="sng" w="9525">
              <a:solidFill>
                <a:srgbClr val="C27BA0">
                  <a:alpha val="100000"/>
                </a:srgbClr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C27BA0">
                  <a:alpha val="100000"/>
                </a:srgbClr>
              </a:solidFill>
              <a:ln cmpd="sng">
                <a:solidFill>
                  <a:srgbClr val="C27BA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674EA7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FLTs!$B$2:$B$11</c:f>
            </c:strRef>
          </c:cat>
          <c:val>
            <c:numRef>
              <c:f>FLTs!$B$2:$B$11</c:f>
              <c:numCache/>
            </c:numRef>
          </c:val>
          <c:smooth val="1"/>
        </c:ser>
        <c:axId val="1690093259"/>
        <c:axId val="1959468152"/>
      </c:lineChart>
      <c:catAx>
        <c:axId val="16900932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9468152"/>
      </c:catAx>
      <c:valAx>
        <c:axId val="1959468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marks (out of 100)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00932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6" displayName="scores" name="scores" id="1">
  <tableColumns count="8">
    <tableColumn name="test #" id="1"/>
    <tableColumn name="date" id="2"/>
    <tableColumn name="name" id="3"/>
    <tableColumn name="site" id="4"/>
    <tableColumn name="marks (out of 100)" id="5"/>
    <tableColumn name="rank" id="6"/>
    <tableColumn name="notes" id="7"/>
    <tableColumn name="-" id="8"/>
  </tableColumns>
  <tableStyleInfo name="FLTs-style" showColumnStripes="0" showFirstColumn="1" showLastColumn="1" showRowStripes="1"/>
</table>
</file>

<file path=xl/tables/table2.xml><?xml version="1.0" encoding="utf-8"?>
<table xmlns="http://schemas.openxmlformats.org/spreadsheetml/2006/main" ref="A1:K17" displayName="Test_scores" name="Test_scores" id="2">
  <tableColumns count="11">
    <tableColumn name="Subject" id="1"/>
    <tableColumn name="Site" id="2"/>
    <tableColumn name="Type" id="3"/>
    <tableColumn name="Syllabus" id="4"/>
    <tableColumn name="Score" id="5"/>
    <tableColumn name="Out of" id="6"/>
    <tableColumn name="Percentage" id="7"/>
    <tableColumn name="Difficulty" id="8"/>
    <tableColumn name="Date" id="9"/>
    <tableColumn name="Notes" id="10"/>
    <tableColumn name="✓ | ? | ✗ " id="11"/>
  </tableColumns>
  <tableStyleInfo name="Sc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59.75"/>
    <col customWidth="1" min="8" max="8" width="22.63"/>
  </cols>
  <sheetData>
    <row r="1" ht="22.5" customHeight="1">
      <c r="A1" s="1" t="s">
        <v>1</v>
      </c>
      <c r="B1" s="2" t="s">
        <v>3</v>
      </c>
      <c r="C1" s="2" t="s">
        <v>6</v>
      </c>
      <c r="D1" s="2" t="s">
        <v>8</v>
      </c>
      <c r="E1" s="1" t="s">
        <v>10</v>
      </c>
      <c r="F1" s="2" t="s">
        <v>11</v>
      </c>
      <c r="G1" s="2" t="s">
        <v>13</v>
      </c>
      <c r="H1" s="2" t="s">
        <v>15</v>
      </c>
    </row>
    <row r="2" ht="22.5" customHeight="1">
      <c r="A2" s="3">
        <v>1.0</v>
      </c>
      <c r="B2" s="4">
        <v>45655.0</v>
      </c>
      <c r="C2" s="6" t="s">
        <v>20</v>
      </c>
      <c r="D2" s="5" t="s">
        <v>22</v>
      </c>
      <c r="E2" s="7">
        <v>67.37</v>
      </c>
      <c r="F2" s="6" t="s">
        <v>25</v>
      </c>
      <c r="G2" s="9" t="s">
        <v>26</v>
      </c>
      <c r="H2" s="11"/>
    </row>
    <row r="3" ht="22.5" customHeight="1">
      <c r="A3" s="3">
        <v>2.0</v>
      </c>
      <c r="B3" s="4">
        <v>45660.0</v>
      </c>
      <c r="C3" s="6" t="s">
        <v>27</v>
      </c>
      <c r="D3" s="5" t="s">
        <v>22</v>
      </c>
      <c r="E3" s="7">
        <v>67.67</v>
      </c>
      <c r="F3" s="6" t="s">
        <v>29</v>
      </c>
      <c r="G3" s="9" t="s">
        <v>31</v>
      </c>
      <c r="H3" s="11"/>
    </row>
    <row r="4" ht="22.5" customHeight="1">
      <c r="A4" s="3">
        <v>3.0</v>
      </c>
      <c r="B4" s="4">
        <v>45663.0</v>
      </c>
      <c r="C4" s="6" t="s">
        <v>20</v>
      </c>
      <c r="D4" s="5" t="s">
        <v>32</v>
      </c>
      <c r="E4" s="7">
        <v>73.37</v>
      </c>
      <c r="F4" s="6" t="s">
        <v>15</v>
      </c>
      <c r="G4" s="9" t="s">
        <v>33</v>
      </c>
      <c r="H4" s="11"/>
    </row>
    <row r="5" ht="22.5" customHeight="1">
      <c r="A5" s="3">
        <v>4.0</v>
      </c>
      <c r="B5" s="4">
        <v>45664.0</v>
      </c>
      <c r="C5" s="6" t="s">
        <v>27</v>
      </c>
      <c r="D5" s="5" t="s">
        <v>35</v>
      </c>
      <c r="E5" s="7">
        <v>70.71</v>
      </c>
      <c r="F5" s="6" t="s">
        <v>36</v>
      </c>
      <c r="G5" s="14"/>
      <c r="H5" s="11"/>
    </row>
    <row r="6" ht="22.5" customHeight="1">
      <c r="A6" s="3">
        <v>5.0</v>
      </c>
      <c r="B6" s="4">
        <v>45665.0</v>
      </c>
      <c r="C6" s="6" t="s">
        <v>39</v>
      </c>
      <c r="D6" s="5" t="s">
        <v>22</v>
      </c>
      <c r="E6" s="7">
        <v>81.67</v>
      </c>
      <c r="F6" s="6" t="s">
        <v>40</v>
      </c>
      <c r="G6" s="9" t="s">
        <v>41</v>
      </c>
      <c r="H6" s="11"/>
    </row>
    <row r="7" ht="22.5" customHeight="1">
      <c r="A7" s="3">
        <v>6.0</v>
      </c>
      <c r="B7" s="4">
        <v>45667.0</v>
      </c>
      <c r="C7" s="6" t="s">
        <v>27</v>
      </c>
      <c r="D7" s="5" t="s">
        <v>32</v>
      </c>
      <c r="E7" s="7">
        <v>77.01</v>
      </c>
      <c r="F7" s="6" t="s">
        <v>45</v>
      </c>
      <c r="G7" s="9" t="s">
        <v>46</v>
      </c>
      <c r="H7" s="11"/>
    </row>
    <row r="8" ht="22.5" customHeight="1">
      <c r="A8" s="3">
        <v>7.0</v>
      </c>
      <c r="B8" s="4">
        <v>45669.0</v>
      </c>
      <c r="C8" s="6" t="s">
        <v>47</v>
      </c>
      <c r="D8" s="5" t="s">
        <v>22</v>
      </c>
      <c r="E8" s="7">
        <v>76.0</v>
      </c>
      <c r="F8" s="6" t="s">
        <v>48</v>
      </c>
      <c r="G8" s="9" t="s">
        <v>50</v>
      </c>
      <c r="H8" s="11"/>
    </row>
    <row r="9" ht="22.5" customHeight="1">
      <c r="A9" s="3">
        <v>8.0</v>
      </c>
      <c r="B9" s="4">
        <v>45672.0</v>
      </c>
      <c r="C9" s="6" t="s">
        <v>51</v>
      </c>
      <c r="D9" s="5" t="s">
        <v>22</v>
      </c>
      <c r="E9" s="7">
        <v>77.0</v>
      </c>
      <c r="F9" s="6" t="s">
        <v>54</v>
      </c>
      <c r="G9" s="15" t="s">
        <v>55</v>
      </c>
      <c r="H9" s="11"/>
    </row>
    <row r="10" ht="22.5" customHeight="1">
      <c r="A10" s="3">
        <v>9.0</v>
      </c>
      <c r="B10" s="4">
        <v>45675.0</v>
      </c>
      <c r="C10" s="6" t="s">
        <v>56</v>
      </c>
      <c r="D10" s="5" t="s">
        <v>22</v>
      </c>
      <c r="E10" s="7">
        <v>73.36</v>
      </c>
      <c r="F10" s="6" t="s">
        <v>57</v>
      </c>
      <c r="G10" s="9" t="s">
        <v>58</v>
      </c>
      <c r="H10" s="11"/>
    </row>
    <row r="11" ht="22.5" customHeight="1">
      <c r="A11" s="3">
        <v>10.0</v>
      </c>
      <c r="B11" s="4">
        <v>45676.0</v>
      </c>
      <c r="C11" s="6" t="s">
        <v>60</v>
      </c>
      <c r="D11" s="5" t="s">
        <v>61</v>
      </c>
      <c r="E11" s="16"/>
      <c r="F11" s="11"/>
      <c r="G11" s="9" t="s">
        <v>64</v>
      </c>
      <c r="H11" s="11"/>
    </row>
    <row r="12" ht="22.5" customHeight="1">
      <c r="A12" s="17"/>
      <c r="B12" s="18"/>
      <c r="C12" s="11"/>
      <c r="D12" s="19"/>
      <c r="E12" s="16"/>
      <c r="F12" s="11"/>
      <c r="G12" s="14"/>
      <c r="H12" s="11"/>
    </row>
    <row r="13" ht="22.5" customHeight="1">
      <c r="A13" s="17"/>
      <c r="B13" s="18"/>
      <c r="C13" s="11"/>
      <c r="D13" s="19"/>
      <c r="E13" s="16"/>
      <c r="F13" s="11"/>
      <c r="G13" s="14"/>
      <c r="H13" s="11"/>
    </row>
    <row r="14" ht="22.5" customHeight="1">
      <c r="A14" s="17"/>
      <c r="B14" s="18"/>
      <c r="C14" s="11"/>
      <c r="D14" s="19"/>
      <c r="E14" s="16"/>
      <c r="F14" s="11"/>
      <c r="G14" s="14"/>
      <c r="H14" s="11"/>
    </row>
    <row r="15" ht="22.5" customHeight="1">
      <c r="A15" s="17"/>
      <c r="B15" s="18"/>
      <c r="C15" s="11"/>
      <c r="D15" s="19"/>
      <c r="E15" s="16"/>
      <c r="F15" s="11"/>
      <c r="G15" s="14"/>
      <c r="H15" s="11"/>
    </row>
    <row r="16" ht="22.5" customHeight="1">
      <c r="A16" s="17"/>
      <c r="B16" s="18"/>
      <c r="C16" s="11"/>
      <c r="D16" s="19"/>
      <c r="E16" s="16"/>
      <c r="F16" s="11"/>
      <c r="G16" s="14"/>
      <c r="H16" s="11"/>
    </row>
  </sheetData>
  <dataValidations>
    <dataValidation type="custom" allowBlank="1" showDropDown="1" sqref="B2:B16">
      <formula1>OR(NOT(ISERROR(DATEVALUE(B2))), AND(ISNUMBER(B2), LEFT(CELL("format", B2))="D"))</formula1>
    </dataValidation>
    <dataValidation type="custom" allowBlank="1" showDropDown="1" sqref="E2:E16">
      <formula1>AND(ISNUMBER(E2),(NOT(OR(NOT(ISERROR(DATEVALUE(E2))), AND(ISNUMBER(E2), LEFT(CELL("format", E2))="D")))))</formula1>
    </dataValidation>
    <dataValidation allowBlank="1" showDropDown="1" sqref="G2:G16"/>
    <dataValidation type="list" allowBlank="1" sqref="D2:D16">
      <formula1>"GO,Piyush,RBR,Depth of ML"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3F86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12.75"/>
    <col customWidth="1" min="3" max="3" width="13.63"/>
    <col customWidth="1" min="4" max="4" width="58.63"/>
    <col customWidth="1" min="5" max="6" width="13.13"/>
    <col customWidth="1" min="7" max="7" width="17.75"/>
    <col customWidth="1" min="8" max="9" width="16.13"/>
    <col customWidth="1" min="10" max="10" width="29.63"/>
    <col customWidth="1" min="11" max="11" width="23.88"/>
  </cols>
  <sheetData>
    <row r="1" ht="22.5" customHeight="1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12</v>
      </c>
      <c r="H1" s="1" t="s">
        <v>14</v>
      </c>
      <c r="I1" s="1" t="s">
        <v>16</v>
      </c>
      <c r="J1" s="1" t="s">
        <v>17</v>
      </c>
      <c r="K1" s="1" t="s">
        <v>18</v>
      </c>
    </row>
    <row r="2" ht="22.5" customHeight="1">
      <c r="A2" s="5" t="s">
        <v>19</v>
      </c>
      <c r="B2" s="5" t="s">
        <v>21</v>
      </c>
      <c r="C2" s="5" t="s">
        <v>23</v>
      </c>
      <c r="D2" s="8" t="s">
        <v>24</v>
      </c>
      <c r="E2" s="10">
        <v>11.02</v>
      </c>
      <c r="F2" s="10">
        <v>25.0</v>
      </c>
      <c r="G2" s="12">
        <f t="shared" ref="G2:G9" si="1">DIVIDE(E2,F2)</f>
        <v>0.4408</v>
      </c>
      <c r="H2" s="13">
        <v>3.0</v>
      </c>
      <c r="I2" s="4">
        <v>45398.0</v>
      </c>
      <c r="J2" s="9" t="s">
        <v>28</v>
      </c>
      <c r="K2" s="8" t="s">
        <v>30</v>
      </c>
    </row>
    <row r="3" ht="22.5" customHeight="1">
      <c r="A3" s="5" t="s">
        <v>19</v>
      </c>
      <c r="B3" s="5" t="s">
        <v>21</v>
      </c>
      <c r="C3" s="5" t="s">
        <v>23</v>
      </c>
      <c r="D3" s="8" t="s">
        <v>34</v>
      </c>
      <c r="E3" s="10">
        <v>17.0</v>
      </c>
      <c r="F3" s="10">
        <v>25.0</v>
      </c>
      <c r="G3" s="12">
        <f t="shared" si="1"/>
        <v>0.68</v>
      </c>
      <c r="H3" s="13">
        <v>3.0</v>
      </c>
      <c r="I3" s="4">
        <v>45432.0</v>
      </c>
      <c r="J3" s="9" t="s">
        <v>37</v>
      </c>
      <c r="K3" s="8" t="s">
        <v>38</v>
      </c>
    </row>
    <row r="4" ht="22.5" customHeight="1">
      <c r="A4" s="5" t="s">
        <v>19</v>
      </c>
      <c r="B4" s="5" t="s">
        <v>35</v>
      </c>
      <c r="C4" s="5" t="s">
        <v>23</v>
      </c>
      <c r="D4" s="8" t="s">
        <v>42</v>
      </c>
      <c r="E4" s="10">
        <v>17.67</v>
      </c>
      <c r="F4" s="10">
        <v>25.0</v>
      </c>
      <c r="G4" s="12">
        <f t="shared" si="1"/>
        <v>0.7068</v>
      </c>
      <c r="H4" s="13">
        <v>4.0</v>
      </c>
      <c r="I4" s="4">
        <v>45475.0</v>
      </c>
      <c r="J4" s="9" t="s">
        <v>43</v>
      </c>
      <c r="K4" s="8" t="s">
        <v>44</v>
      </c>
    </row>
    <row r="5" ht="22.5" customHeight="1">
      <c r="A5" s="5" t="s">
        <v>19</v>
      </c>
      <c r="B5" s="5" t="s">
        <v>35</v>
      </c>
      <c r="C5" s="5" t="s">
        <v>23</v>
      </c>
      <c r="D5" s="7" t="s">
        <v>49</v>
      </c>
      <c r="E5" s="10">
        <v>17.01</v>
      </c>
      <c r="F5" s="10">
        <v>25.0</v>
      </c>
      <c r="G5" s="12">
        <f t="shared" si="1"/>
        <v>0.6804</v>
      </c>
      <c r="H5" s="13">
        <v>4.0</v>
      </c>
      <c r="I5" s="4">
        <v>45482.0</v>
      </c>
      <c r="J5" s="9" t="s">
        <v>52</v>
      </c>
      <c r="K5" s="9" t="s">
        <v>53</v>
      </c>
    </row>
    <row r="6" ht="22.5" customHeight="1">
      <c r="A6" s="5" t="s">
        <v>19</v>
      </c>
      <c r="B6" s="5" t="s">
        <v>35</v>
      </c>
      <c r="C6" s="5" t="s">
        <v>23</v>
      </c>
      <c r="D6" s="7" t="s">
        <v>59</v>
      </c>
      <c r="E6" s="10">
        <v>25.0</v>
      </c>
      <c r="F6" s="10">
        <v>25.0</v>
      </c>
      <c r="G6" s="12">
        <f t="shared" si="1"/>
        <v>1</v>
      </c>
      <c r="H6" s="13">
        <v>2.0</v>
      </c>
      <c r="I6" s="4">
        <v>45491.0</v>
      </c>
      <c r="J6" s="9" t="s">
        <v>62</v>
      </c>
      <c r="K6" s="9" t="s">
        <v>63</v>
      </c>
    </row>
    <row r="7" ht="22.5" customHeight="1">
      <c r="A7" s="5" t="s">
        <v>65</v>
      </c>
      <c r="B7" s="5" t="s">
        <v>35</v>
      </c>
      <c r="C7" s="5" t="s">
        <v>23</v>
      </c>
      <c r="D7" s="7" t="s">
        <v>66</v>
      </c>
      <c r="E7" s="10">
        <v>16.67</v>
      </c>
      <c r="F7" s="10">
        <v>25.0</v>
      </c>
      <c r="G7" s="12">
        <f t="shared" si="1"/>
        <v>0.6668</v>
      </c>
      <c r="H7" s="13">
        <v>4.0</v>
      </c>
      <c r="I7" s="4">
        <v>45494.0</v>
      </c>
      <c r="J7" s="9" t="s">
        <v>67</v>
      </c>
      <c r="K7" s="9" t="s">
        <v>68</v>
      </c>
    </row>
    <row r="8" ht="22.5" customHeight="1">
      <c r="A8" s="5" t="s">
        <v>69</v>
      </c>
      <c r="B8" s="5" t="s">
        <v>35</v>
      </c>
      <c r="C8" s="5" t="s">
        <v>23</v>
      </c>
      <c r="D8" s="7" t="s">
        <v>70</v>
      </c>
      <c r="E8" s="10">
        <v>21.1</v>
      </c>
      <c r="F8" s="10">
        <v>25.0</v>
      </c>
      <c r="G8" s="12">
        <f t="shared" si="1"/>
        <v>0.844</v>
      </c>
      <c r="H8" s="13">
        <v>3.0</v>
      </c>
      <c r="I8" s="4">
        <v>45575.0</v>
      </c>
      <c r="J8" s="9" t="s">
        <v>71</v>
      </c>
      <c r="K8" s="9" t="s">
        <v>72</v>
      </c>
    </row>
    <row r="9" ht="22.5" customHeight="1">
      <c r="A9" s="5" t="s">
        <v>19</v>
      </c>
      <c r="B9" s="5" t="s">
        <v>73</v>
      </c>
      <c r="C9" s="5" t="s">
        <v>23</v>
      </c>
      <c r="D9" s="7" t="s">
        <v>74</v>
      </c>
      <c r="E9" s="10">
        <v>17.0</v>
      </c>
      <c r="F9" s="10">
        <v>22.0</v>
      </c>
      <c r="G9" s="12">
        <f t="shared" si="1"/>
        <v>0.7727272727</v>
      </c>
      <c r="H9" s="20">
        <v>0.0</v>
      </c>
      <c r="I9" s="4">
        <v>45574.0</v>
      </c>
      <c r="J9" s="14"/>
      <c r="K9" s="14"/>
    </row>
    <row r="10" ht="22.5" customHeight="1">
      <c r="A10" s="19"/>
      <c r="B10" s="19"/>
      <c r="C10" s="19"/>
      <c r="D10" s="16"/>
      <c r="E10" s="21"/>
      <c r="F10" s="21"/>
      <c r="G10" s="22"/>
      <c r="H10" s="20">
        <v>0.0</v>
      </c>
      <c r="I10" s="18"/>
      <c r="J10" s="14"/>
      <c r="K10" s="14"/>
    </row>
    <row r="11" ht="22.5" customHeight="1">
      <c r="A11" s="19"/>
      <c r="B11" s="19"/>
      <c r="C11" s="19"/>
      <c r="D11" s="16"/>
      <c r="E11" s="21"/>
      <c r="F11" s="21"/>
      <c r="G11" s="22"/>
      <c r="H11" s="20">
        <v>0.0</v>
      </c>
      <c r="I11" s="18"/>
      <c r="J11" s="14"/>
      <c r="K11" s="14"/>
    </row>
    <row r="12" ht="22.5" customHeight="1">
      <c r="A12" s="19"/>
      <c r="B12" s="19"/>
      <c r="C12" s="19"/>
      <c r="D12" s="16"/>
      <c r="E12" s="21"/>
      <c r="F12" s="21"/>
      <c r="G12" s="22"/>
      <c r="H12" s="20">
        <v>0.0</v>
      </c>
      <c r="I12" s="18"/>
      <c r="J12" s="14"/>
      <c r="K12" s="14"/>
    </row>
    <row r="13" ht="22.5" customHeight="1">
      <c r="A13" s="19"/>
      <c r="B13" s="19"/>
      <c r="C13" s="19"/>
      <c r="D13" s="16"/>
      <c r="E13" s="21"/>
      <c r="F13" s="21"/>
      <c r="G13" s="22"/>
      <c r="H13" s="20">
        <v>0.0</v>
      </c>
      <c r="I13" s="18"/>
      <c r="J13" s="14"/>
      <c r="K13" s="14"/>
    </row>
    <row r="14" ht="22.5" customHeight="1">
      <c r="A14" s="19"/>
      <c r="B14" s="19"/>
      <c r="C14" s="19"/>
      <c r="D14" s="16"/>
      <c r="E14" s="21"/>
      <c r="F14" s="21"/>
      <c r="G14" s="22"/>
      <c r="H14" s="20">
        <v>0.0</v>
      </c>
      <c r="I14" s="18"/>
      <c r="J14" s="14"/>
      <c r="K14" s="14"/>
    </row>
    <row r="15" ht="22.5" customHeight="1">
      <c r="A15" s="19"/>
      <c r="B15" s="19"/>
      <c r="C15" s="19"/>
      <c r="D15" s="16"/>
      <c r="E15" s="21"/>
      <c r="F15" s="21"/>
      <c r="G15" s="22"/>
      <c r="H15" s="23">
        <v>0.0</v>
      </c>
      <c r="I15" s="18"/>
      <c r="J15" s="14"/>
      <c r="K15" s="14"/>
    </row>
    <row r="16" ht="22.5" customHeight="1">
      <c r="A16" s="19"/>
      <c r="B16" s="19"/>
      <c r="C16" s="19"/>
      <c r="D16" s="16"/>
      <c r="E16" s="21"/>
      <c r="F16" s="21"/>
      <c r="G16" s="22"/>
      <c r="H16" s="23">
        <v>0.0</v>
      </c>
      <c r="I16" s="18"/>
      <c r="J16" s="14"/>
      <c r="K16" s="14"/>
    </row>
    <row r="17" ht="22.5" customHeight="1">
      <c r="A17" s="19"/>
      <c r="B17" s="19"/>
      <c r="C17" s="19"/>
      <c r="D17" s="16"/>
      <c r="E17" s="21"/>
      <c r="F17" s="21"/>
      <c r="G17" s="22"/>
      <c r="H17" s="20">
        <v>0.0</v>
      </c>
      <c r="I17" s="18"/>
      <c r="J17" s="14"/>
      <c r="K17" s="14"/>
    </row>
  </sheetData>
  <dataValidations>
    <dataValidation type="list" allowBlank="1" sqref="A2:A17">
      <formula1>"PROB,CALC,DB,ALGO,LA,ML,AI"</formula1>
    </dataValidation>
    <dataValidation type="custom" allowBlank="1" showDropDown="1" sqref="I2:I17">
      <formula1>OR(NOT(ISERROR(DATEVALUE(I2))), AND(ISNUMBER(I2), LEFT(CELL("format", I2))="D"))</formula1>
    </dataValidation>
    <dataValidation type="list" allowBlank="1" sqref="B2:B17">
      <formula1>"RBR,ACE,GO Classes"</formula1>
    </dataValidation>
    <dataValidation type="list" allowBlank="1" sqref="C2:C17">
      <formula1>"Topic,Sub,Full"</formula1>
    </dataValidation>
    <dataValidation type="list" allowBlank="1" showErrorMessage="1" sqref="H2:H17">
      <formula1>"0,1,2,3,4,5"</formula1>
    </dataValidation>
    <dataValidation allowBlank="1" showDropDown="1" sqref="J2:K17"/>
    <dataValidation type="custom" allowBlank="1" showDropDown="1" sqref="E2:G17">
      <formula1>AND(ISNUMBER(E2),(NOT(OR(NOT(ISERROR(DATEVALUE(E2))), AND(ISNUMBER(E2), LEFT(CELL("format", E2))="D")))))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